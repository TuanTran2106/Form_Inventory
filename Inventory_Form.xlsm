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\Project(Priyo Tutorials)\Form Inventory\"/>
    </mc:Choice>
  </mc:AlternateContent>
  <xr:revisionPtr revIDLastSave="0" documentId="13_ncr:1_{33A39CA7-2A14-40F9-BB73-1F8039342CC2}" xr6:coauthVersionLast="47" xr6:coauthVersionMax="47" xr10:uidLastSave="{00000000-0000-0000-0000-000000000000}"/>
  <bookViews>
    <workbookView xWindow="1620" yWindow="345" windowWidth="17430" windowHeight="10320" activeTab="3" xr2:uid="{987A7343-185C-48C8-BD1D-3BB278C78B7B}"/>
  </bookViews>
  <sheets>
    <sheet name="DashBoard" sheetId="1" r:id="rId1"/>
    <sheet name="Product Master" sheetId="2" r:id="rId2"/>
    <sheet name="InOutStock" sheetId="3" r:id="rId3"/>
    <sheet name="InventoryStatus" sheetId="4" r:id="rId4"/>
  </sheets>
  <definedNames>
    <definedName name="_xlnm._FilterDatabase" localSheetId="2" hidden="1">InOutStock!$A$1:$J$9999</definedName>
    <definedName name="_xlnm._FilterDatabase" localSheetId="3" hidden="1">InventoryStatus!$A$1:$J$9999</definedName>
    <definedName name="_xlnm.Criteria" localSheetId="2">InOutStock!$AA$1:$AA$2</definedName>
    <definedName name="_xlnm.Criteria" localSheetId="3">InventoryStatus!$N$1:$N$2</definedName>
    <definedName name="_xlnm.Extract" localSheetId="2">InOutStock!$AD$1:$AM$1</definedName>
    <definedName name="_xlnm.Extract" localSheetId="3">InventoryStatus!$S$1:$AB$1</definedName>
    <definedName name="In_Out">OFFSET(InOutStock!$C$1,1,0,COUNTA(InOutStock!$C:$C)-1,1)</definedName>
    <definedName name="InList">OFFSET(InOutStock!$P$1,1,0,COUNTA(InOutStock!$P:$P)-1,9)</definedName>
    <definedName name="OutList">OFFSET(InOutStock!$P$1,1,0,COUNTA(InOutStock!$P:$P)-1,9)</definedName>
    <definedName name="OutOfStockList">OFFSET(InventoryStatus!$S$1,1,0,COUNTA(InventoryStatus!$S:$S)-1,10)</definedName>
    <definedName name="Product_Inventory">OFFSET(InOutStock!$B$1,1,0,COUNTA(InOutStock!$B:$B)-1,1)</definedName>
    <definedName name="ProductList">OFFSET('Product Master'!$A$1,1,0,COUNTA('Product Master'!$A:$A)-1,6)</definedName>
    <definedName name="ProductListBox">OFFSET(InOutStock!$A$1,1,0,COUNTA(InOutStock!$A:$A)-1,10)</definedName>
    <definedName name="ProductStockList">OFFSET(InOutStock!$AD$1,1,0,COUNTA(InOutStock!$AD:$AD)-1,10)</definedName>
    <definedName name="ReOrderList">OFFSET(InventoryStatus!$S$1,1,0,COUNTA(InventoryStatus!$S:$S)-1,10)</definedName>
    <definedName name="SearchList">OFFSET(InventoryStatus!$A$1,1,0,COUNTA(InventoryStatus!$A:$A)-1,5)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4" l="1"/>
  <c r="I9" i="4"/>
  <c r="H9" i="4"/>
  <c r="G9" i="4"/>
  <c r="F9" i="4"/>
  <c r="E9" i="4"/>
  <c r="D9" i="4"/>
  <c r="C9" i="4"/>
  <c r="B9" i="4"/>
  <c r="I28" i="3"/>
  <c r="I29" i="3"/>
  <c r="I27" i="3"/>
  <c r="G28" i="3"/>
  <c r="G29" i="3"/>
  <c r="G27" i="3"/>
  <c r="J3" i="4"/>
  <c r="J4" i="4"/>
  <c r="J5" i="4"/>
  <c r="J6" i="4"/>
  <c r="J7" i="4"/>
  <c r="J8" i="4"/>
  <c r="J2" i="4"/>
  <c r="H3" i="4"/>
  <c r="H4" i="4"/>
  <c r="H5" i="4"/>
  <c r="H6" i="4"/>
  <c r="I6" i="4" s="1"/>
  <c r="H7" i="4"/>
  <c r="H8" i="4"/>
  <c r="I8" i="4" s="1"/>
  <c r="H2" i="4"/>
  <c r="D3" i="4"/>
  <c r="D4" i="4"/>
  <c r="D5" i="4"/>
  <c r="D6" i="4"/>
  <c r="D7" i="4"/>
  <c r="D8" i="4"/>
  <c r="C3" i="4"/>
  <c r="C4" i="4"/>
  <c r="C5" i="4"/>
  <c r="C6" i="4"/>
  <c r="C7" i="4"/>
  <c r="C8" i="4"/>
  <c r="B3" i="4"/>
  <c r="E3" i="4" s="1"/>
  <c r="B4" i="4"/>
  <c r="B5" i="4"/>
  <c r="B6" i="4"/>
  <c r="B7" i="4"/>
  <c r="E7" i="4" s="1"/>
  <c r="B8" i="4"/>
  <c r="C2" i="4"/>
  <c r="D2" i="4"/>
  <c r="B2" i="4"/>
  <c r="I25" i="3"/>
  <c r="G25" i="3"/>
  <c r="I24" i="3"/>
  <c r="G24" i="3"/>
  <c r="I23" i="3"/>
  <c r="G23" i="3"/>
  <c r="I22" i="3"/>
  <c r="G22" i="3"/>
  <c r="I21" i="3"/>
  <c r="G21" i="3"/>
  <c r="I20" i="3"/>
  <c r="G20" i="3"/>
  <c r="I19" i="3"/>
  <c r="G19" i="3"/>
  <c r="I18" i="3"/>
  <c r="G18" i="3"/>
  <c r="I17" i="3"/>
  <c r="G17" i="3"/>
  <c r="I16" i="3"/>
  <c r="G16" i="3"/>
  <c r="I15" i="3"/>
  <c r="G15" i="3"/>
  <c r="I14" i="3"/>
  <c r="G14" i="3"/>
  <c r="I13" i="3"/>
  <c r="G13" i="3"/>
  <c r="I12" i="3"/>
  <c r="G12" i="3"/>
  <c r="I11" i="3"/>
  <c r="G11" i="3"/>
  <c r="I10" i="3"/>
  <c r="G10" i="3"/>
  <c r="I3" i="3"/>
  <c r="I4" i="3"/>
  <c r="I5" i="3"/>
  <c r="I6" i="3"/>
  <c r="I7" i="3"/>
  <c r="I8" i="3"/>
  <c r="I9" i="3"/>
  <c r="G3" i="3"/>
  <c r="G4" i="3"/>
  <c r="G5" i="3"/>
  <c r="G6" i="3"/>
  <c r="G7" i="3"/>
  <c r="G8" i="3"/>
  <c r="G9" i="3"/>
  <c r="I2" i="3"/>
  <c r="G2" i="3"/>
  <c r="E8" i="4" l="1"/>
  <c r="E2" i="4"/>
  <c r="E4" i="4"/>
  <c r="E6" i="4"/>
  <c r="F6" i="4" s="1"/>
  <c r="E5" i="4"/>
  <c r="F5" i="4" s="1"/>
  <c r="I3" i="4"/>
  <c r="I4" i="4"/>
  <c r="I7" i="4"/>
  <c r="I5" i="4"/>
  <c r="F8" i="4"/>
  <c r="G8" i="4"/>
  <c r="F7" i="4"/>
  <c r="G7" i="4"/>
  <c r="G4" i="4"/>
  <c r="F4" i="4"/>
  <c r="F3" i="4"/>
  <c r="G3" i="4"/>
  <c r="G2" i="4"/>
  <c r="F2" i="4"/>
  <c r="I2" i="4"/>
  <c r="G6" i="4" l="1"/>
  <c r="G5" i="4"/>
</calcChain>
</file>

<file path=xl/sharedStrings.xml><?xml version="1.0" encoding="utf-8"?>
<sst xmlns="http://schemas.openxmlformats.org/spreadsheetml/2006/main" count="200" uniqueCount="46">
  <si>
    <t>Item Code</t>
  </si>
  <si>
    <t>Product Name</t>
  </si>
  <si>
    <t>Cost Per Unit</t>
  </si>
  <si>
    <t>Price Per Unit</t>
  </si>
  <si>
    <t>Bin Number</t>
  </si>
  <si>
    <t>Re-Order Number</t>
  </si>
  <si>
    <t>ID07351</t>
  </si>
  <si>
    <t>ID07352</t>
  </si>
  <si>
    <t>ID07353</t>
  </si>
  <si>
    <t>ID07355</t>
  </si>
  <si>
    <t>ID07360</t>
  </si>
  <si>
    <t>ID07368</t>
  </si>
  <si>
    <t>ID07369</t>
  </si>
  <si>
    <t>Carrot</t>
  </si>
  <si>
    <t>Whole Wheat</t>
  </si>
  <si>
    <t>Chocolate Chip</t>
  </si>
  <si>
    <t>Arrowroot</t>
  </si>
  <si>
    <t>Potato Chips</t>
  </si>
  <si>
    <t>Oatmeal Raisin</t>
  </si>
  <si>
    <t>Bran</t>
  </si>
  <si>
    <t>Trans ID</t>
  </si>
  <si>
    <t>In/Out</t>
  </si>
  <si>
    <t>Date</t>
  </si>
  <si>
    <t>Quantity</t>
  </si>
  <si>
    <t>Re-Order Point</t>
  </si>
  <si>
    <t>Total Value</t>
  </si>
  <si>
    <t>Total Cost Value</t>
  </si>
  <si>
    <t>ID07370</t>
  </si>
  <si>
    <t>ID07371</t>
  </si>
  <si>
    <t>ID07372</t>
  </si>
  <si>
    <t>ID07376</t>
  </si>
  <si>
    <t>ID07436</t>
  </si>
  <si>
    <t>Pretzels</t>
  </si>
  <si>
    <t>Out</t>
  </si>
  <si>
    <t>In</t>
  </si>
  <si>
    <t>Open</t>
  </si>
  <si>
    <t>1/1/2022</t>
  </si>
  <si>
    <t>Closing Stock</t>
  </si>
  <si>
    <t>Stock Price Value</t>
  </si>
  <si>
    <t>Stock Cost</t>
  </si>
  <si>
    <t>Re-Order Level</t>
  </si>
  <si>
    <t>Re-Order Required</t>
  </si>
  <si>
    <t>Yes</t>
  </si>
  <si>
    <t>Brany</t>
  </si>
  <si>
    <t>1/1/2024</t>
  </si>
  <si>
    <t>1/1/2025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</si>
</sst>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indexed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0" borderId="0"/>
    <xf numFmtId="0" fontId="2" fillId="0" borderId="0" applyNumberFormat="0" applyFill="0" applyBorder="0" applyAlignment="0" applyProtection="0">
      <alignment horizontal="left" indent="1"/>
    </xf>
    <xf numFmtId="0" fontId="3" fillId="0" borderId="0" applyNumberFormat="0" applyFill="0" applyBorder="0" applyAlignment="0" applyProtection="0"/>
  </cellStyleXfs>
  <cellXfs count="9">
    <xf numFmtId="0" fontId="0" fillId="0" borderId="0" xfId="0"/>
    <xf numFmtId="14" fontId="1" fillId="0" borderId="0" xfId="1" applyNumberFormat="1"/>
    <xf numFmtId="0" fontId="0" fillId="0" borderId="1" xfId="0" applyBorder="1"/>
    <xf numFmtId="14" fontId="0" fillId="0" borderId="2" xfId="0" applyNumberFormat="1" applyBorder="1"/>
    <xf numFmtId="164" fontId="0" fillId="0" borderId="1" xfId="0" applyNumberFormat="1" applyBorder="1"/>
    <xf numFmtId="0" fontId="1" fillId="0" borderId="0" xfId="1"/>
    <xf numFmtId="0" fontId="1" fillId="0" borderId="0" xfId="1"/>
    <xf numFmtId="164" fontId="0" fillId="0" borderId="0" xfId="0" applyNumberFormat="1"/>
    <xf numFmtId="0" fontId="1" fillId="0" borderId="0" xfId="1" applyFill="1"/>
  </cellXfs>
  <cellStyles count="4">
    <cellStyle name="Ctx_Hyperlink" xfId="2" xr:uid="{519C7F94-02FC-4000-9D96-EE250578B40A}"/>
    <cellStyle name="Hyperlink" xfId="3" builtinId="8" customBuiltin="1"/>
    <cellStyle name="Normal" xfId="0" builtinId="0"/>
    <cellStyle name="Normal 2" xfId="1" xr:uid="{1847B187-1B47-4045-A9D1-2B329F3F02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</xdr:row>
      <xdr:rowOff>0</xdr:rowOff>
    </xdr:from>
    <xdr:to>
      <xdr:col>14</xdr:col>
      <xdr:colOff>171450</xdr:colOff>
      <xdr:row>2</xdr:row>
      <xdr:rowOff>114300</xdr:rowOff>
    </xdr:to>
    <xdr:sp macro="[0]!In_Tick" textlink="">
      <xdr:nvSpPr>
        <xdr:cNvPr id="2" name="Rectangle 1">
          <a:extLst>
            <a:ext uri="{FF2B5EF4-FFF2-40B4-BE49-F238E27FC236}">
              <a16:creationId xmlns:a16="http://schemas.microsoft.com/office/drawing/2014/main" id="{5BDE581C-EC61-327A-FEC4-977F23F66548}"/>
            </a:ext>
          </a:extLst>
        </xdr:cNvPr>
        <xdr:cNvSpPr/>
      </xdr:nvSpPr>
      <xdr:spPr>
        <a:xfrm>
          <a:off x="11001375" y="190500"/>
          <a:ext cx="933450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</a:t>
          </a:r>
          <a:r>
            <a:rPr lang="en-US" sz="1100" baseline="0"/>
            <a:t> Click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7096</xdr:colOff>
      <xdr:row>2</xdr:row>
      <xdr:rowOff>19611</xdr:rowOff>
    </xdr:from>
    <xdr:to>
      <xdr:col>16</xdr:col>
      <xdr:colOff>420220</xdr:colOff>
      <xdr:row>4</xdr:row>
      <xdr:rowOff>38661</xdr:rowOff>
    </xdr:to>
    <xdr:sp macro="[0]!Product_List" textlink="">
      <xdr:nvSpPr>
        <xdr:cNvPr id="2" name="Rectangle 1">
          <a:extLst>
            <a:ext uri="{FF2B5EF4-FFF2-40B4-BE49-F238E27FC236}">
              <a16:creationId xmlns:a16="http://schemas.microsoft.com/office/drawing/2014/main" id="{CB438189-1082-60C3-F701-B2A93E248837}"/>
            </a:ext>
          </a:extLst>
        </xdr:cNvPr>
        <xdr:cNvSpPr/>
      </xdr:nvSpPr>
      <xdr:spPr>
        <a:xfrm>
          <a:off x="12473640" y="393140"/>
          <a:ext cx="1020109" cy="3925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Product_List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F7C0-0FB5-4317-B73F-126F0D95CB1A}">
  <sheetPr codeName="Sheet1"/>
  <dimension ref="A1"/>
  <sheetViews>
    <sheetView workbookViewId="0">
      <selection activeCell="B5" sqref="B5"/>
    </sheetView>
  </sheetViews>
  <sheetFormatPr defaultRowHeight="15" x14ac:dyDescent="0.25"/>
  <cols>
    <col min="1" max="1" width="10.140625" customWidth="1"/>
    <col min="2" max="2" width="17.140625" customWidth="1"/>
    <col min="3" max="3" width="14.85546875" customWidth="1"/>
    <col min="4" max="4" width="14.42578125" customWidth="1"/>
    <col min="5" max="5" width="15" customWidth="1"/>
    <col min="6" max="6" width="19.42578125" customWidth="1"/>
    <col min="7" max="7" width="12.4257812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0E724-D140-4DF8-A7F7-9D358720BCCF}">
  <sheetPr codeName="Sheet2"/>
  <dimension ref="A1:F10"/>
  <sheetViews>
    <sheetView workbookViewId="0">
      <selection activeCell="D9" sqref="D9"/>
    </sheetView>
  </sheetViews>
  <sheetFormatPr defaultRowHeight="15" x14ac:dyDescent="0.25"/>
  <cols>
    <col min="1" max="1" width="10.140625" customWidth="1"/>
    <col min="2" max="2" width="17" customWidth="1"/>
    <col min="3" max="3" width="14.28515625" customWidth="1"/>
    <col min="4" max="4" width="15.28515625" customWidth="1"/>
    <col min="5" max="5" width="15" customWidth="1"/>
    <col min="6" max="6" width="19.855468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t="15.75" x14ac:dyDescent="0.25">
      <c r="A2" s="1" t="s">
        <v>6</v>
      </c>
      <c r="B2" s="5" t="s">
        <v>13</v>
      </c>
      <c r="C2" s="6">
        <v>1.7699999999999998</v>
      </c>
      <c r="D2" s="2">
        <v>3.4899999999999998</v>
      </c>
      <c r="E2" s="2">
        <v>33</v>
      </c>
      <c r="F2">
        <v>35</v>
      </c>
    </row>
    <row r="3" spans="1:6" ht="15.75" x14ac:dyDescent="0.25">
      <c r="A3" s="1" t="s">
        <v>7</v>
      </c>
      <c r="B3" s="5" t="s">
        <v>14</v>
      </c>
      <c r="C3" s="2">
        <v>2.1800000000000002</v>
      </c>
      <c r="D3" s="6">
        <v>3.4899999999999998</v>
      </c>
      <c r="E3" s="2">
        <v>87</v>
      </c>
      <c r="F3">
        <v>6</v>
      </c>
    </row>
    <row r="4" spans="1:6" ht="15.75" x14ac:dyDescent="0.25">
      <c r="A4" s="1" t="s">
        <v>8</v>
      </c>
      <c r="B4" s="5" t="s">
        <v>15</v>
      </c>
      <c r="C4" s="6">
        <v>1.8699999999999999</v>
      </c>
      <c r="D4" s="2">
        <v>3.4899999999999998</v>
      </c>
      <c r="E4" s="2">
        <v>58</v>
      </c>
      <c r="F4">
        <v>8</v>
      </c>
    </row>
    <row r="5" spans="1:6" ht="15.75" x14ac:dyDescent="0.25">
      <c r="A5" s="1" t="s">
        <v>9</v>
      </c>
      <c r="B5" s="5" t="s">
        <v>16</v>
      </c>
      <c r="C5" s="6">
        <v>2.1800000000000002</v>
      </c>
      <c r="D5" s="2">
        <v>3.4899999999999998</v>
      </c>
      <c r="E5" s="2">
        <v>38</v>
      </c>
      <c r="F5">
        <v>7</v>
      </c>
    </row>
    <row r="6" spans="1:6" ht="15.75" x14ac:dyDescent="0.25">
      <c r="A6" s="1" t="s">
        <v>10</v>
      </c>
      <c r="B6" s="5" t="s">
        <v>17</v>
      </c>
      <c r="C6" s="6">
        <v>1.35</v>
      </c>
      <c r="D6" s="2">
        <v>3.4899999999999998</v>
      </c>
      <c r="E6" s="2">
        <v>28</v>
      </c>
      <c r="F6">
        <v>9</v>
      </c>
    </row>
    <row r="7" spans="1:6" ht="15.75" x14ac:dyDescent="0.25">
      <c r="A7" s="1" t="s">
        <v>11</v>
      </c>
      <c r="B7" s="5" t="s">
        <v>18</v>
      </c>
      <c r="C7" s="6">
        <v>2.84</v>
      </c>
      <c r="D7" s="2">
        <v>3.4899999999999998</v>
      </c>
      <c r="E7" s="2">
        <v>123</v>
      </c>
      <c r="F7">
        <v>9</v>
      </c>
    </row>
    <row r="8" spans="1:6" ht="15.75" x14ac:dyDescent="0.25">
      <c r="A8" s="1" t="s">
        <v>12</v>
      </c>
      <c r="B8" s="5" t="s">
        <v>19</v>
      </c>
      <c r="C8" s="6">
        <v>1.87</v>
      </c>
      <c r="D8" s="2">
        <v>3.49</v>
      </c>
      <c r="E8" s="2">
        <v>42</v>
      </c>
      <c r="F8">
        <v>7</v>
      </c>
    </row>
    <row r="9" spans="1:6" ht="15.75" x14ac:dyDescent="0.25">
      <c r="A9" s="1" t="s">
        <v>27</v>
      </c>
      <c r="B9" s="6" t="s">
        <v>43</v>
      </c>
      <c r="C9" s="6">
        <v>1.89</v>
      </c>
      <c r="D9" s="2">
        <v>3.42</v>
      </c>
      <c r="E9" s="2">
        <v>36</v>
      </c>
      <c r="F9">
        <v>8</v>
      </c>
    </row>
    <row r="10" spans="1:6" x14ac:dyDescent="0.25">
      <c r="D10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38690-1C1F-43F6-A388-9622C3579BE6}">
  <sheetPr codeName="Sheet3"/>
  <dimension ref="A1:AM29"/>
  <sheetViews>
    <sheetView topLeftCell="Z1" workbookViewId="0">
      <selection activeCell="AO12" sqref="AO12"/>
    </sheetView>
  </sheetViews>
  <sheetFormatPr defaultRowHeight="15" x14ac:dyDescent="0.25"/>
  <cols>
    <col min="2" max="2" width="14.42578125" customWidth="1"/>
    <col min="3" max="3" width="9.28515625" customWidth="1"/>
    <col min="4" max="4" width="16.28515625" style="7" customWidth="1"/>
    <col min="6" max="6" width="14.7109375" customWidth="1"/>
    <col min="7" max="7" width="13.42578125" customWidth="1"/>
    <col min="8" max="8" width="15.140625" customWidth="1"/>
    <col min="9" max="9" width="15.85546875" customWidth="1"/>
    <col min="10" max="10" width="15.42578125" customWidth="1"/>
    <col min="13" max="13" width="11.5703125" customWidth="1"/>
    <col min="14" max="14" width="13.7109375" customWidth="1"/>
    <col min="16" max="16" width="13.7109375" customWidth="1"/>
    <col min="20" max="20" width="13" customWidth="1"/>
    <col min="21" max="21" width="12.140625" customWidth="1"/>
    <col min="22" max="22" width="12.28515625" customWidth="1"/>
    <col min="23" max="23" width="10.5703125" customWidth="1"/>
    <col min="24" max="24" width="15.5703125" customWidth="1"/>
    <col min="27" max="27" width="14.140625" customWidth="1"/>
    <col min="39" max="39" width="15.85546875" customWidth="1"/>
  </cols>
  <sheetData>
    <row r="1" spans="1:39" x14ac:dyDescent="0.25">
      <c r="A1" t="s">
        <v>20</v>
      </c>
      <c r="B1" t="s">
        <v>1</v>
      </c>
      <c r="C1" t="s">
        <v>21</v>
      </c>
      <c r="D1" s="7" t="s">
        <v>22</v>
      </c>
      <c r="E1" t="s">
        <v>23</v>
      </c>
      <c r="F1" t="s">
        <v>3</v>
      </c>
      <c r="G1" t="s">
        <v>25</v>
      </c>
      <c r="H1" t="s">
        <v>2</v>
      </c>
      <c r="I1" t="s">
        <v>26</v>
      </c>
      <c r="J1" t="s">
        <v>24</v>
      </c>
      <c r="M1" t="s">
        <v>21</v>
      </c>
      <c r="P1" t="s">
        <v>1</v>
      </c>
      <c r="Q1" t="s">
        <v>21</v>
      </c>
      <c r="R1" s="7" t="s">
        <v>22</v>
      </c>
      <c r="S1" t="s">
        <v>23</v>
      </c>
      <c r="T1" t="s">
        <v>3</v>
      </c>
      <c r="U1" t="s">
        <v>25</v>
      </c>
      <c r="V1" t="s">
        <v>2</v>
      </c>
      <c r="W1" t="s">
        <v>26</v>
      </c>
      <c r="X1" t="s">
        <v>24</v>
      </c>
      <c r="AA1" t="s">
        <v>1</v>
      </c>
      <c r="AD1" t="s">
        <v>20</v>
      </c>
      <c r="AE1" t="s">
        <v>1</v>
      </c>
      <c r="AF1" t="s">
        <v>21</v>
      </c>
      <c r="AG1" s="7" t="s">
        <v>22</v>
      </c>
      <c r="AH1" t="s">
        <v>23</v>
      </c>
      <c r="AI1" t="s">
        <v>3</v>
      </c>
      <c r="AJ1" t="s">
        <v>25</v>
      </c>
      <c r="AK1" t="s">
        <v>2</v>
      </c>
      <c r="AL1" t="s">
        <v>26</v>
      </c>
      <c r="AM1" t="s">
        <v>24</v>
      </c>
    </row>
    <row r="2" spans="1:39" ht="15.75" x14ac:dyDescent="0.25">
      <c r="A2" s="3" t="s">
        <v>6</v>
      </c>
      <c r="B2" s="2" t="s">
        <v>13</v>
      </c>
      <c r="C2" t="s">
        <v>34</v>
      </c>
      <c r="D2" s="4">
        <v>44562</v>
      </c>
      <c r="E2" s="2">
        <v>33</v>
      </c>
      <c r="F2" s="2">
        <v>3.49</v>
      </c>
      <c r="G2">
        <f>E2*F2</f>
        <v>115.17</v>
      </c>
      <c r="H2" s="6">
        <v>1.7699999999999998</v>
      </c>
      <c r="I2">
        <f>E2*H2</f>
        <v>58.41</v>
      </c>
      <c r="J2">
        <v>33</v>
      </c>
      <c r="P2" s="2" t="s">
        <v>14</v>
      </c>
      <c r="Q2" t="s">
        <v>33</v>
      </c>
      <c r="R2" s="4">
        <v>44565</v>
      </c>
      <c r="S2" s="2">
        <v>87</v>
      </c>
      <c r="T2" s="6">
        <v>3.4899999999999998</v>
      </c>
      <c r="U2">
        <v>303.63</v>
      </c>
      <c r="V2" s="2">
        <v>2.1800000000000002</v>
      </c>
      <c r="W2">
        <v>189.66000000000003</v>
      </c>
      <c r="X2">
        <v>6</v>
      </c>
      <c r="AD2" s="3" t="s">
        <v>9</v>
      </c>
      <c r="AE2" s="2" t="s">
        <v>16</v>
      </c>
      <c r="AF2" t="s">
        <v>34</v>
      </c>
      <c r="AG2" s="4">
        <v>44574</v>
      </c>
      <c r="AH2" s="2">
        <v>38</v>
      </c>
      <c r="AI2" s="2">
        <v>3.49</v>
      </c>
      <c r="AJ2">
        <v>132.62</v>
      </c>
      <c r="AK2" s="6">
        <v>2.1800000000000002</v>
      </c>
      <c r="AL2">
        <v>82.84</v>
      </c>
      <c r="AM2">
        <v>7</v>
      </c>
    </row>
    <row r="3" spans="1:39" ht="15.75" x14ac:dyDescent="0.25">
      <c r="A3" s="3" t="s">
        <v>7</v>
      </c>
      <c r="B3" s="2" t="s">
        <v>14</v>
      </c>
      <c r="C3" t="s">
        <v>33</v>
      </c>
      <c r="D3" s="4">
        <v>44565</v>
      </c>
      <c r="E3" s="2">
        <v>87</v>
      </c>
      <c r="F3" s="6">
        <v>3.4899999999999998</v>
      </c>
      <c r="G3">
        <f t="shared" ref="G3:G8" si="0">E3*F3</f>
        <v>303.63</v>
      </c>
      <c r="H3" s="2">
        <v>2.1800000000000002</v>
      </c>
      <c r="I3">
        <f t="shared" ref="I3:I8" si="1">E3*H3</f>
        <v>189.66000000000003</v>
      </c>
      <c r="J3">
        <v>6</v>
      </c>
      <c r="P3" s="2" t="s">
        <v>17</v>
      </c>
      <c r="Q3" t="s">
        <v>33</v>
      </c>
      <c r="R3" s="4">
        <v>44589</v>
      </c>
      <c r="S3" s="2">
        <v>28</v>
      </c>
      <c r="T3" s="2">
        <v>3.4899999999999998</v>
      </c>
      <c r="U3">
        <v>97.72</v>
      </c>
      <c r="V3" s="6">
        <v>1.35</v>
      </c>
      <c r="W3">
        <v>37.800000000000004</v>
      </c>
      <c r="X3">
        <v>9</v>
      </c>
      <c r="AD3" s="3" t="s">
        <v>9</v>
      </c>
      <c r="AE3" s="2" t="s">
        <v>16</v>
      </c>
      <c r="AF3" t="s">
        <v>33</v>
      </c>
      <c r="AG3" s="4">
        <v>44574</v>
      </c>
      <c r="AH3" s="2">
        <v>21</v>
      </c>
      <c r="AI3" s="2">
        <v>3.49</v>
      </c>
      <c r="AJ3">
        <v>73.290000000000006</v>
      </c>
      <c r="AK3" s="6">
        <v>2.1800000000000002</v>
      </c>
      <c r="AL3">
        <v>45.78</v>
      </c>
      <c r="AM3">
        <v>7</v>
      </c>
    </row>
    <row r="4" spans="1:39" ht="15.75" x14ac:dyDescent="0.25">
      <c r="A4" s="3" t="s">
        <v>8</v>
      </c>
      <c r="B4" s="2" t="s">
        <v>15</v>
      </c>
      <c r="C4" t="s">
        <v>35</v>
      </c>
      <c r="D4" s="4">
        <v>44568</v>
      </c>
      <c r="E4" s="2">
        <v>58</v>
      </c>
      <c r="F4" s="2">
        <v>3.49</v>
      </c>
      <c r="G4">
        <f t="shared" si="0"/>
        <v>202.42000000000002</v>
      </c>
      <c r="H4" s="6">
        <v>1.8699999999999999</v>
      </c>
      <c r="I4">
        <f t="shared" si="1"/>
        <v>108.46</v>
      </c>
      <c r="J4">
        <v>8</v>
      </c>
      <c r="P4" s="2" t="s">
        <v>18</v>
      </c>
      <c r="Q4" t="s">
        <v>33</v>
      </c>
      <c r="R4" s="4">
        <v>44613</v>
      </c>
      <c r="S4" s="2">
        <v>123</v>
      </c>
      <c r="T4" s="2">
        <v>3.4899999999999998</v>
      </c>
      <c r="U4">
        <v>429.27</v>
      </c>
      <c r="V4" s="6">
        <v>2.84</v>
      </c>
      <c r="W4">
        <v>349.32</v>
      </c>
      <c r="X4">
        <v>9</v>
      </c>
      <c r="AD4" s="3" t="s">
        <v>9</v>
      </c>
      <c r="AE4" s="2" t="s">
        <v>16</v>
      </c>
      <c r="AF4" t="s">
        <v>35</v>
      </c>
      <c r="AG4" s="4">
        <v>44574</v>
      </c>
      <c r="AH4" s="2">
        <v>37</v>
      </c>
      <c r="AI4" s="2">
        <v>3.49</v>
      </c>
      <c r="AJ4">
        <v>129.13</v>
      </c>
      <c r="AK4" s="6">
        <v>2.1800000000000002</v>
      </c>
      <c r="AL4">
        <v>80.660000000000011</v>
      </c>
      <c r="AM4">
        <v>7</v>
      </c>
    </row>
    <row r="5" spans="1:39" ht="15.75" x14ac:dyDescent="0.25">
      <c r="A5" s="3" t="s">
        <v>9</v>
      </c>
      <c r="B5" s="2" t="s">
        <v>16</v>
      </c>
      <c r="C5" t="s">
        <v>34</v>
      </c>
      <c r="D5" s="4">
        <v>44574</v>
      </c>
      <c r="E5" s="2">
        <v>38</v>
      </c>
      <c r="F5" s="2">
        <v>3.49</v>
      </c>
      <c r="G5">
        <f t="shared" si="0"/>
        <v>132.62</v>
      </c>
      <c r="H5" s="6">
        <v>2.1800000000000002</v>
      </c>
      <c r="I5">
        <f t="shared" si="1"/>
        <v>82.84</v>
      </c>
      <c r="J5">
        <v>7</v>
      </c>
      <c r="P5" s="2" t="s">
        <v>32</v>
      </c>
      <c r="Q5" t="s">
        <v>33</v>
      </c>
      <c r="R5" s="4">
        <v>44817</v>
      </c>
      <c r="S5" s="2">
        <v>27</v>
      </c>
      <c r="T5" s="2">
        <v>3.4899999999999998</v>
      </c>
      <c r="U5">
        <v>94.22999999999999</v>
      </c>
      <c r="V5" s="6">
        <v>1.35</v>
      </c>
      <c r="W5">
        <v>36.450000000000003</v>
      </c>
      <c r="X5">
        <v>9</v>
      </c>
      <c r="AD5" s="3"/>
      <c r="AE5" s="2"/>
      <c r="AG5" s="4"/>
      <c r="AH5" s="2"/>
      <c r="AI5" s="2"/>
      <c r="AK5" s="6"/>
    </row>
    <row r="6" spans="1:39" ht="15.75" x14ac:dyDescent="0.25">
      <c r="A6" s="3" t="s">
        <v>10</v>
      </c>
      <c r="B6" s="2" t="s">
        <v>17</v>
      </c>
      <c r="C6" t="s">
        <v>33</v>
      </c>
      <c r="D6" s="4">
        <v>44589</v>
      </c>
      <c r="E6" s="2">
        <v>28</v>
      </c>
      <c r="F6" s="2">
        <v>3.4899999999999998</v>
      </c>
      <c r="G6">
        <f t="shared" si="0"/>
        <v>97.72</v>
      </c>
      <c r="H6" s="6">
        <v>1.35</v>
      </c>
      <c r="I6">
        <f t="shared" si="1"/>
        <v>37.800000000000004</v>
      </c>
      <c r="J6">
        <v>9</v>
      </c>
      <c r="P6" s="2" t="s">
        <v>13</v>
      </c>
      <c r="Q6" t="s">
        <v>33</v>
      </c>
      <c r="R6" s="4">
        <v>44563</v>
      </c>
      <c r="S6" s="2">
        <v>25</v>
      </c>
      <c r="T6" s="2">
        <v>3.49</v>
      </c>
      <c r="U6">
        <v>87.25</v>
      </c>
      <c r="V6" s="6">
        <v>1.7699999999999998</v>
      </c>
      <c r="W6">
        <v>44.249999999999993</v>
      </c>
      <c r="X6">
        <v>33</v>
      </c>
      <c r="AD6" s="3"/>
      <c r="AE6" s="2"/>
      <c r="AG6" s="4"/>
      <c r="AH6" s="2"/>
      <c r="AI6" s="2"/>
      <c r="AK6" s="6"/>
    </row>
    <row r="7" spans="1:39" ht="15.75" x14ac:dyDescent="0.25">
      <c r="A7" s="3" t="s">
        <v>11</v>
      </c>
      <c r="B7" s="2" t="s">
        <v>18</v>
      </c>
      <c r="C7" t="s">
        <v>33</v>
      </c>
      <c r="D7" s="4">
        <v>44613</v>
      </c>
      <c r="E7" s="2">
        <v>123</v>
      </c>
      <c r="F7" s="2">
        <v>3.4899999999999998</v>
      </c>
      <c r="G7">
        <f t="shared" si="0"/>
        <v>429.27</v>
      </c>
      <c r="H7" s="6">
        <v>2.84</v>
      </c>
      <c r="I7">
        <f t="shared" si="1"/>
        <v>349.32</v>
      </c>
      <c r="J7">
        <v>9</v>
      </c>
      <c r="P7" s="2" t="s">
        <v>16</v>
      </c>
      <c r="Q7" t="s">
        <v>33</v>
      </c>
      <c r="R7" s="4">
        <v>44574</v>
      </c>
      <c r="S7" s="2">
        <v>21</v>
      </c>
      <c r="T7" s="2">
        <v>3.49</v>
      </c>
      <c r="U7">
        <v>73.290000000000006</v>
      </c>
      <c r="V7" s="6">
        <v>2.1800000000000002</v>
      </c>
      <c r="W7">
        <v>45.78</v>
      </c>
      <c r="X7">
        <v>7</v>
      </c>
      <c r="AD7" s="3"/>
      <c r="AE7" s="2"/>
      <c r="AG7" s="4"/>
      <c r="AH7" s="2"/>
      <c r="AI7" s="2"/>
      <c r="AK7" s="6"/>
    </row>
    <row r="8" spans="1:39" ht="15.75" x14ac:dyDescent="0.25">
      <c r="A8" s="3" t="s">
        <v>12</v>
      </c>
      <c r="B8" s="2" t="s">
        <v>19</v>
      </c>
      <c r="C8" t="s">
        <v>35</v>
      </c>
      <c r="D8" s="4">
        <v>44616</v>
      </c>
      <c r="E8" s="2">
        <v>42</v>
      </c>
      <c r="F8" s="2">
        <v>3.49</v>
      </c>
      <c r="G8">
        <f t="shared" si="0"/>
        <v>146.58000000000001</v>
      </c>
      <c r="H8" s="6">
        <v>1.87</v>
      </c>
      <c r="I8">
        <f t="shared" si="1"/>
        <v>78.540000000000006</v>
      </c>
      <c r="J8">
        <v>7</v>
      </c>
      <c r="P8" s="2" t="s">
        <v>15</v>
      </c>
      <c r="Q8" t="s">
        <v>33</v>
      </c>
      <c r="R8" s="4">
        <v>44568</v>
      </c>
      <c r="S8" s="2">
        <v>53</v>
      </c>
      <c r="T8" s="2">
        <v>3.49</v>
      </c>
      <c r="U8">
        <v>184.97</v>
      </c>
      <c r="V8" s="6">
        <v>1.8699999999999999</v>
      </c>
      <c r="W8">
        <v>99.11</v>
      </c>
      <c r="X8">
        <v>8</v>
      </c>
      <c r="AD8" s="3"/>
      <c r="AE8" s="2"/>
      <c r="AG8" s="4"/>
      <c r="AH8" s="2"/>
      <c r="AI8" s="2"/>
      <c r="AK8" s="6"/>
    </row>
    <row r="9" spans="1:39" ht="15.75" x14ac:dyDescent="0.25">
      <c r="A9" s="3" t="s">
        <v>31</v>
      </c>
      <c r="B9" s="2" t="s">
        <v>32</v>
      </c>
      <c r="C9" t="s">
        <v>33</v>
      </c>
      <c r="D9" s="4">
        <v>44817</v>
      </c>
      <c r="E9" s="2">
        <v>27</v>
      </c>
      <c r="F9" s="2">
        <v>3.4899999999999998</v>
      </c>
      <c r="G9">
        <f t="shared" ref="G9" si="2">E9*F9</f>
        <v>94.22999999999999</v>
      </c>
      <c r="H9" s="6">
        <v>1.35</v>
      </c>
      <c r="I9">
        <f t="shared" ref="I9" si="3">E9*H9</f>
        <v>36.450000000000003</v>
      </c>
      <c r="J9">
        <v>9</v>
      </c>
      <c r="P9" s="2" t="s">
        <v>19</v>
      </c>
      <c r="Q9" t="s">
        <v>33</v>
      </c>
      <c r="R9" s="4">
        <v>44616</v>
      </c>
      <c r="S9" s="2">
        <v>36</v>
      </c>
      <c r="T9" s="2">
        <v>3.49</v>
      </c>
      <c r="U9">
        <v>125.64000000000001</v>
      </c>
      <c r="V9" s="6">
        <v>1.87</v>
      </c>
      <c r="W9">
        <v>67.320000000000007</v>
      </c>
      <c r="X9">
        <v>7</v>
      </c>
      <c r="AD9" s="3"/>
      <c r="AE9" s="2"/>
      <c r="AG9" s="4"/>
      <c r="AH9" s="2"/>
      <c r="AI9" s="2"/>
      <c r="AK9" s="6"/>
    </row>
    <row r="10" spans="1:39" ht="15.75" x14ac:dyDescent="0.25">
      <c r="A10" s="3" t="s">
        <v>6</v>
      </c>
      <c r="B10" s="2" t="s">
        <v>13</v>
      </c>
      <c r="C10" t="s">
        <v>33</v>
      </c>
      <c r="D10" s="4">
        <v>44563</v>
      </c>
      <c r="E10" s="2">
        <v>25</v>
      </c>
      <c r="F10" s="2">
        <v>3.49</v>
      </c>
      <c r="G10">
        <f>E10*F10</f>
        <v>87.25</v>
      </c>
      <c r="H10" s="6">
        <v>1.7699999999999998</v>
      </c>
      <c r="I10">
        <f>E10*H10</f>
        <v>44.249999999999993</v>
      </c>
      <c r="J10">
        <v>33</v>
      </c>
      <c r="P10" s="6" t="s">
        <v>43</v>
      </c>
      <c r="Q10" t="s">
        <v>33</v>
      </c>
      <c r="R10" s="7" t="s">
        <v>44</v>
      </c>
      <c r="S10">
        <v>30</v>
      </c>
      <c r="T10" s="2">
        <v>3.42</v>
      </c>
      <c r="U10">
        <v>102.6</v>
      </c>
      <c r="V10" s="8">
        <v>1.89</v>
      </c>
      <c r="W10">
        <v>56.699999999999996</v>
      </c>
      <c r="X10">
        <v>8</v>
      </c>
      <c r="AD10" s="3"/>
      <c r="AE10" s="2"/>
      <c r="AG10" s="4"/>
      <c r="AH10" s="2"/>
      <c r="AI10" s="2"/>
      <c r="AK10" s="6"/>
    </row>
    <row r="11" spans="1:39" ht="15.75" x14ac:dyDescent="0.25">
      <c r="A11" s="3" t="s">
        <v>7</v>
      </c>
      <c r="B11" s="2" t="s">
        <v>14</v>
      </c>
      <c r="C11" t="s">
        <v>34</v>
      </c>
      <c r="D11" s="4">
        <v>44565</v>
      </c>
      <c r="E11" s="2">
        <v>43</v>
      </c>
      <c r="F11" s="6">
        <v>3.4899999999999998</v>
      </c>
      <c r="G11">
        <f t="shared" ref="G11:G17" si="4">E11*F11</f>
        <v>150.07</v>
      </c>
      <c r="H11" s="2">
        <v>2.1800000000000002</v>
      </c>
      <c r="I11">
        <f t="shared" ref="I11:I17" si="5">E11*H11</f>
        <v>93.740000000000009</v>
      </c>
      <c r="J11">
        <v>6</v>
      </c>
      <c r="P11" s="6"/>
      <c r="R11" s="7"/>
      <c r="T11" s="2"/>
      <c r="V11" s="8"/>
      <c r="AD11" s="3"/>
      <c r="AE11" s="2"/>
      <c r="AG11" s="4"/>
      <c r="AH11" s="2"/>
      <c r="AI11" s="6"/>
      <c r="AK11" s="2"/>
    </row>
    <row r="12" spans="1:39" ht="15.75" x14ac:dyDescent="0.25">
      <c r="A12" s="3" t="s">
        <v>8</v>
      </c>
      <c r="B12" s="2" t="s">
        <v>15</v>
      </c>
      <c r="C12" t="s">
        <v>34</v>
      </c>
      <c r="D12" s="4">
        <v>44568</v>
      </c>
      <c r="E12" s="2">
        <v>42</v>
      </c>
      <c r="F12" s="2">
        <v>3.49</v>
      </c>
      <c r="G12">
        <f t="shared" si="4"/>
        <v>146.58000000000001</v>
      </c>
      <c r="H12" s="6">
        <v>1.8699999999999999</v>
      </c>
      <c r="I12">
        <f t="shared" si="5"/>
        <v>78.539999999999992</v>
      </c>
      <c r="J12">
        <v>8</v>
      </c>
      <c r="P12" s="2"/>
      <c r="R12" s="4"/>
      <c r="S12" s="2"/>
      <c r="T12" s="2"/>
      <c r="V12" s="6"/>
      <c r="AD12" s="3"/>
      <c r="AE12" s="2"/>
      <c r="AG12" s="4"/>
      <c r="AH12" s="2"/>
      <c r="AI12" s="2"/>
      <c r="AK12" s="6"/>
    </row>
    <row r="13" spans="1:39" ht="15.75" x14ac:dyDescent="0.25">
      <c r="A13" s="3" t="s">
        <v>9</v>
      </c>
      <c r="B13" s="2" t="s">
        <v>16</v>
      </c>
      <c r="C13" t="s">
        <v>33</v>
      </c>
      <c r="D13" s="4">
        <v>44574</v>
      </c>
      <c r="E13" s="2">
        <v>21</v>
      </c>
      <c r="F13" s="2">
        <v>3.49</v>
      </c>
      <c r="G13">
        <f t="shared" si="4"/>
        <v>73.290000000000006</v>
      </c>
      <c r="H13" s="6">
        <v>2.1800000000000002</v>
      </c>
      <c r="I13">
        <f t="shared" si="5"/>
        <v>45.78</v>
      </c>
      <c r="J13">
        <v>7</v>
      </c>
      <c r="P13" s="2"/>
      <c r="R13" s="4"/>
      <c r="S13" s="2"/>
      <c r="T13" s="2"/>
      <c r="V13" s="6"/>
      <c r="AD13" s="3"/>
      <c r="AE13" s="2"/>
      <c r="AG13" s="4"/>
      <c r="AH13" s="2"/>
      <c r="AI13" s="2"/>
      <c r="AK13" s="6"/>
    </row>
    <row r="14" spans="1:39" ht="15.75" x14ac:dyDescent="0.25">
      <c r="A14" s="3" t="s">
        <v>10</v>
      </c>
      <c r="B14" s="2" t="s">
        <v>17</v>
      </c>
      <c r="C14" t="s">
        <v>34</v>
      </c>
      <c r="D14" s="4">
        <v>44589</v>
      </c>
      <c r="E14" s="2">
        <v>24</v>
      </c>
      <c r="F14" s="2">
        <v>3.4899999999999998</v>
      </c>
      <c r="G14">
        <f t="shared" si="4"/>
        <v>83.759999999999991</v>
      </c>
      <c r="H14" s="6">
        <v>1.35</v>
      </c>
      <c r="I14">
        <f t="shared" si="5"/>
        <v>32.400000000000006</v>
      </c>
      <c r="J14">
        <v>9</v>
      </c>
      <c r="P14" s="2"/>
      <c r="R14" s="4"/>
      <c r="S14" s="2"/>
      <c r="T14" s="2"/>
      <c r="V14" s="6"/>
      <c r="AD14" s="3"/>
      <c r="AE14" s="2"/>
      <c r="AG14" s="4"/>
      <c r="AH14" s="2"/>
      <c r="AI14" s="2"/>
      <c r="AK14" s="6"/>
    </row>
    <row r="15" spans="1:39" ht="15.75" x14ac:dyDescent="0.25">
      <c r="A15" s="3" t="s">
        <v>11</v>
      </c>
      <c r="B15" s="2" t="s">
        <v>18</v>
      </c>
      <c r="C15" t="s">
        <v>34</v>
      </c>
      <c r="D15" s="4">
        <v>44613</v>
      </c>
      <c r="E15" s="2">
        <v>87</v>
      </c>
      <c r="F15" s="2">
        <v>3.4899999999999998</v>
      </c>
      <c r="G15">
        <f t="shared" si="4"/>
        <v>303.63</v>
      </c>
      <c r="H15" s="6">
        <v>2.84</v>
      </c>
      <c r="I15">
        <f t="shared" si="5"/>
        <v>247.07999999999998</v>
      </c>
      <c r="J15">
        <v>9</v>
      </c>
      <c r="P15" s="2"/>
      <c r="R15" s="4"/>
      <c r="S15" s="2"/>
      <c r="T15" s="2"/>
      <c r="V15" s="6"/>
      <c r="AD15" s="3"/>
      <c r="AE15" s="2"/>
      <c r="AG15" s="4"/>
      <c r="AH15" s="2"/>
      <c r="AI15" s="2"/>
      <c r="AK15" s="6"/>
    </row>
    <row r="16" spans="1:39" ht="15.75" x14ac:dyDescent="0.25">
      <c r="A16" s="3" t="s">
        <v>12</v>
      </c>
      <c r="B16" s="2" t="s">
        <v>19</v>
      </c>
      <c r="C16" t="s">
        <v>34</v>
      </c>
      <c r="D16" s="4">
        <v>44616</v>
      </c>
      <c r="E16" s="2">
        <v>32</v>
      </c>
      <c r="F16" s="2">
        <v>3.49</v>
      </c>
      <c r="G16">
        <f t="shared" si="4"/>
        <v>111.68</v>
      </c>
      <c r="H16" s="6">
        <v>1.87</v>
      </c>
      <c r="I16">
        <f t="shared" si="5"/>
        <v>59.84</v>
      </c>
      <c r="J16">
        <v>7</v>
      </c>
      <c r="P16" s="2"/>
      <c r="R16" s="4"/>
      <c r="S16" s="2"/>
      <c r="T16" s="2"/>
      <c r="V16" s="6"/>
      <c r="AD16" s="3"/>
      <c r="AE16" s="2"/>
      <c r="AG16" s="4"/>
      <c r="AH16" s="2"/>
      <c r="AI16" s="2"/>
      <c r="AK16" s="6"/>
    </row>
    <row r="17" spans="1:37" ht="15.75" x14ac:dyDescent="0.25">
      <c r="A17" s="3" t="s">
        <v>31</v>
      </c>
      <c r="B17" s="2" t="s">
        <v>32</v>
      </c>
      <c r="C17" t="s">
        <v>34</v>
      </c>
      <c r="D17" s="4">
        <v>44817</v>
      </c>
      <c r="E17" s="2">
        <v>54</v>
      </c>
      <c r="F17" s="2">
        <v>3.4899999999999998</v>
      </c>
      <c r="G17">
        <f t="shared" si="4"/>
        <v>188.45999999999998</v>
      </c>
      <c r="H17" s="6">
        <v>1.35</v>
      </c>
      <c r="I17">
        <f t="shared" si="5"/>
        <v>72.900000000000006</v>
      </c>
      <c r="J17">
        <v>9</v>
      </c>
      <c r="P17" s="2"/>
      <c r="R17" s="4"/>
      <c r="S17" s="2"/>
      <c r="T17" s="2"/>
      <c r="V17" s="6"/>
      <c r="AD17" s="3"/>
      <c r="AE17" s="2"/>
      <c r="AG17" s="4"/>
      <c r="AH17" s="2"/>
      <c r="AI17" s="2"/>
      <c r="AK17" s="6"/>
    </row>
    <row r="18" spans="1:37" ht="15.75" x14ac:dyDescent="0.25">
      <c r="A18" s="3" t="s">
        <v>6</v>
      </c>
      <c r="B18" s="2" t="s">
        <v>13</v>
      </c>
      <c r="C18" t="s">
        <v>35</v>
      </c>
      <c r="D18" s="4">
        <v>44562</v>
      </c>
      <c r="E18" s="2">
        <v>24</v>
      </c>
      <c r="F18" s="2">
        <v>3.49</v>
      </c>
      <c r="G18">
        <f>E18*F18</f>
        <v>83.76</v>
      </c>
      <c r="H18" s="6">
        <v>1.7699999999999998</v>
      </c>
      <c r="I18">
        <f>E18*H18</f>
        <v>42.48</v>
      </c>
      <c r="J18">
        <v>33</v>
      </c>
      <c r="P18" s="2"/>
      <c r="R18" s="4"/>
      <c r="S18" s="2"/>
      <c r="T18" s="2"/>
      <c r="V18" s="6"/>
      <c r="AD18" s="3"/>
      <c r="AE18" s="2"/>
      <c r="AG18" s="4"/>
      <c r="AH18" s="2"/>
      <c r="AI18" s="2"/>
      <c r="AK18" s="6"/>
    </row>
    <row r="19" spans="1:37" ht="15.75" x14ac:dyDescent="0.25">
      <c r="A19" s="3" t="s">
        <v>7</v>
      </c>
      <c r="B19" s="2" t="s">
        <v>14</v>
      </c>
      <c r="C19" t="s">
        <v>35</v>
      </c>
      <c r="D19" s="4">
        <v>44565</v>
      </c>
      <c r="E19" s="2">
        <v>75</v>
      </c>
      <c r="F19" s="6">
        <v>3.4899999999999998</v>
      </c>
      <c r="G19">
        <f t="shared" ref="G19:G25" si="6">E19*F19</f>
        <v>261.75</v>
      </c>
      <c r="H19" s="2">
        <v>2.1800000000000002</v>
      </c>
      <c r="I19">
        <f t="shared" ref="I19:I25" si="7">E19*H19</f>
        <v>163.5</v>
      </c>
      <c r="J19">
        <v>6</v>
      </c>
      <c r="P19" s="2"/>
      <c r="R19" s="4"/>
      <c r="S19" s="2"/>
      <c r="T19" s="6"/>
      <c r="V19" s="2"/>
      <c r="AD19" s="3"/>
      <c r="AE19" s="2"/>
      <c r="AG19" s="4"/>
      <c r="AH19" s="2"/>
      <c r="AI19" s="6"/>
      <c r="AK19" s="2"/>
    </row>
    <row r="20" spans="1:37" ht="15.75" x14ac:dyDescent="0.25">
      <c r="A20" s="3" t="s">
        <v>8</v>
      </c>
      <c r="B20" s="2" t="s">
        <v>15</v>
      </c>
      <c r="C20" t="s">
        <v>33</v>
      </c>
      <c r="D20" s="4">
        <v>44568</v>
      </c>
      <c r="E20" s="2">
        <v>53</v>
      </c>
      <c r="F20" s="2">
        <v>3.49</v>
      </c>
      <c r="G20">
        <f t="shared" si="6"/>
        <v>184.97</v>
      </c>
      <c r="H20" s="6">
        <v>1.8699999999999999</v>
      </c>
      <c r="I20">
        <f t="shared" si="7"/>
        <v>99.11</v>
      </c>
      <c r="J20">
        <v>8</v>
      </c>
      <c r="P20" s="2"/>
      <c r="R20" s="4"/>
      <c r="S20" s="2"/>
      <c r="T20" s="2"/>
      <c r="V20" s="6"/>
      <c r="AD20" s="3"/>
      <c r="AE20" s="2"/>
      <c r="AG20" s="4"/>
      <c r="AH20" s="2"/>
      <c r="AI20" s="2"/>
      <c r="AK20" s="6"/>
    </row>
    <row r="21" spans="1:37" ht="15.75" x14ac:dyDescent="0.25">
      <c r="A21" s="3" t="s">
        <v>9</v>
      </c>
      <c r="B21" s="2" t="s">
        <v>16</v>
      </c>
      <c r="C21" t="s">
        <v>35</v>
      </c>
      <c r="D21" s="4">
        <v>44574</v>
      </c>
      <c r="E21" s="2">
        <v>37</v>
      </c>
      <c r="F21" s="2">
        <v>3.49</v>
      </c>
      <c r="G21">
        <f t="shared" si="6"/>
        <v>129.13</v>
      </c>
      <c r="H21" s="6">
        <v>2.1800000000000002</v>
      </c>
      <c r="I21">
        <f t="shared" si="7"/>
        <v>80.660000000000011</v>
      </c>
      <c r="J21">
        <v>7</v>
      </c>
      <c r="P21" s="2"/>
      <c r="R21" s="4"/>
      <c r="S21" s="2"/>
      <c r="T21" s="2"/>
      <c r="V21" s="6"/>
      <c r="AD21" s="3"/>
      <c r="AE21" s="2"/>
      <c r="AG21" s="4"/>
      <c r="AH21" s="2"/>
      <c r="AI21" s="2"/>
      <c r="AK21" s="6"/>
    </row>
    <row r="22" spans="1:37" ht="15.75" x14ac:dyDescent="0.25">
      <c r="A22" s="3" t="s">
        <v>10</v>
      </c>
      <c r="B22" s="2" t="s">
        <v>17</v>
      </c>
      <c r="C22" t="s">
        <v>35</v>
      </c>
      <c r="D22" s="4">
        <v>44589</v>
      </c>
      <c r="E22" s="2">
        <v>26</v>
      </c>
      <c r="F22" s="2">
        <v>3.4899999999999998</v>
      </c>
      <c r="G22">
        <f t="shared" si="6"/>
        <v>90.74</v>
      </c>
      <c r="H22" s="6">
        <v>1.35</v>
      </c>
      <c r="I22">
        <f t="shared" si="7"/>
        <v>35.1</v>
      </c>
      <c r="J22">
        <v>9</v>
      </c>
      <c r="P22" s="2"/>
      <c r="R22" s="4"/>
      <c r="S22" s="2"/>
      <c r="T22" s="2"/>
      <c r="V22" s="6"/>
      <c r="AD22" s="3"/>
      <c r="AE22" s="2"/>
      <c r="AG22" s="4"/>
      <c r="AH22" s="2"/>
      <c r="AI22" s="2"/>
      <c r="AK22" s="6"/>
    </row>
    <row r="23" spans="1:37" ht="15.75" x14ac:dyDescent="0.25">
      <c r="A23" s="3" t="s">
        <v>11</v>
      </c>
      <c r="B23" s="2" t="s">
        <v>18</v>
      </c>
      <c r="C23" t="s">
        <v>35</v>
      </c>
      <c r="D23" s="4">
        <v>44613</v>
      </c>
      <c r="E23" s="2">
        <v>48</v>
      </c>
      <c r="F23" s="2">
        <v>3.4899999999999998</v>
      </c>
      <c r="G23">
        <f t="shared" si="6"/>
        <v>167.51999999999998</v>
      </c>
      <c r="H23" s="6">
        <v>2.84</v>
      </c>
      <c r="I23">
        <f t="shared" si="7"/>
        <v>136.32</v>
      </c>
      <c r="J23">
        <v>9</v>
      </c>
      <c r="P23" s="2"/>
      <c r="R23" s="4"/>
      <c r="S23" s="2"/>
      <c r="T23" s="2"/>
      <c r="V23" s="6"/>
      <c r="AD23" s="3"/>
      <c r="AE23" s="2"/>
      <c r="AG23" s="4"/>
      <c r="AH23" s="2"/>
      <c r="AI23" s="2"/>
      <c r="AK23" s="6"/>
    </row>
    <row r="24" spans="1:37" ht="15.75" x14ac:dyDescent="0.25">
      <c r="A24" s="3" t="s">
        <v>12</v>
      </c>
      <c r="B24" s="2" t="s">
        <v>19</v>
      </c>
      <c r="C24" t="s">
        <v>33</v>
      </c>
      <c r="D24" s="4">
        <v>44616</v>
      </c>
      <c r="E24" s="2">
        <v>36</v>
      </c>
      <c r="F24" s="2">
        <v>3.49</v>
      </c>
      <c r="G24">
        <f t="shared" si="6"/>
        <v>125.64000000000001</v>
      </c>
      <c r="H24" s="6">
        <v>1.87</v>
      </c>
      <c r="I24">
        <f t="shared" si="7"/>
        <v>67.320000000000007</v>
      </c>
      <c r="J24">
        <v>7</v>
      </c>
      <c r="P24" s="2"/>
      <c r="R24" s="4"/>
      <c r="S24" s="2"/>
      <c r="T24" s="2"/>
      <c r="V24" s="6"/>
      <c r="AD24" s="3"/>
      <c r="AE24" s="2"/>
      <c r="AG24" s="4"/>
      <c r="AH24" s="2"/>
      <c r="AI24" s="2"/>
      <c r="AK24" s="6"/>
    </row>
    <row r="25" spans="1:37" ht="15.75" x14ac:dyDescent="0.25">
      <c r="A25" s="3" t="s">
        <v>31</v>
      </c>
      <c r="B25" s="2" t="s">
        <v>32</v>
      </c>
      <c r="C25" t="s">
        <v>35</v>
      </c>
      <c r="D25" s="4">
        <v>44817</v>
      </c>
      <c r="E25" s="2">
        <v>48</v>
      </c>
      <c r="F25" s="2">
        <v>3.4899999999999998</v>
      </c>
      <c r="G25">
        <f t="shared" si="6"/>
        <v>167.51999999999998</v>
      </c>
      <c r="H25" s="6">
        <v>1.35</v>
      </c>
      <c r="I25">
        <f t="shared" si="7"/>
        <v>64.800000000000011</v>
      </c>
      <c r="J25">
        <v>9</v>
      </c>
      <c r="P25" s="2"/>
      <c r="R25" s="4"/>
      <c r="S25" s="2"/>
      <c r="T25" s="2"/>
      <c r="V25" s="6"/>
      <c r="AD25" s="3"/>
      <c r="AE25" s="2"/>
      <c r="AG25" s="4"/>
      <c r="AH25" s="2"/>
      <c r="AI25" s="2"/>
      <c r="AK25" s="6"/>
    </row>
    <row r="26" spans="1:37" x14ac:dyDescent="0.25">
      <c r="A26" t="s">
        <v>30</v>
      </c>
      <c r="B26" t="s">
        <v>13</v>
      </c>
      <c r="C26" t="s">
        <v>34</v>
      </c>
      <c r="D26" s="7" t="s">
        <v>36</v>
      </c>
      <c r="E26">
        <v>24</v>
      </c>
      <c r="F26">
        <v>3.49</v>
      </c>
      <c r="G26">
        <v>83.76</v>
      </c>
      <c r="H26">
        <v>1.77</v>
      </c>
      <c r="I26">
        <v>42.48</v>
      </c>
      <c r="J26">
        <v>33</v>
      </c>
      <c r="R26" s="7"/>
      <c r="AG26" s="7"/>
    </row>
    <row r="27" spans="1:37" ht="15.75" x14ac:dyDescent="0.25">
      <c r="A27" s="1" t="s">
        <v>27</v>
      </c>
      <c r="B27" s="6" t="s">
        <v>43</v>
      </c>
      <c r="C27" t="s">
        <v>34</v>
      </c>
      <c r="D27" s="7">
        <v>44927</v>
      </c>
      <c r="E27">
        <v>15</v>
      </c>
      <c r="F27" s="2">
        <v>3.42</v>
      </c>
      <c r="G27">
        <f>E27*F27</f>
        <v>51.3</v>
      </c>
      <c r="H27" s="8">
        <v>1.89</v>
      </c>
      <c r="I27">
        <f>E27*H27</f>
        <v>28.349999999999998</v>
      </c>
      <c r="J27">
        <v>8</v>
      </c>
      <c r="P27" s="6"/>
      <c r="R27" s="7"/>
      <c r="T27" s="2"/>
      <c r="V27" s="8"/>
      <c r="AD27" s="1"/>
      <c r="AE27" s="6"/>
      <c r="AG27" s="7"/>
      <c r="AI27" s="2"/>
      <c r="AK27" s="8"/>
    </row>
    <row r="28" spans="1:37" ht="15.75" x14ac:dyDescent="0.25">
      <c r="A28" s="1" t="s">
        <v>28</v>
      </c>
      <c r="B28" s="6" t="s">
        <v>43</v>
      </c>
      <c r="C28" t="s">
        <v>33</v>
      </c>
      <c r="D28" s="7" t="s">
        <v>44</v>
      </c>
      <c r="E28">
        <v>30</v>
      </c>
      <c r="F28" s="2">
        <v>3.42</v>
      </c>
      <c r="G28">
        <f t="shared" ref="G28:G29" si="8">E28*F28</f>
        <v>102.6</v>
      </c>
      <c r="H28" s="8">
        <v>1.89</v>
      </c>
      <c r="I28">
        <f t="shared" ref="I28:I29" si="9">E28*H28</f>
        <v>56.699999999999996</v>
      </c>
      <c r="J28">
        <v>8</v>
      </c>
      <c r="P28" s="6"/>
      <c r="R28" s="7"/>
      <c r="T28" s="2"/>
      <c r="V28" s="8"/>
      <c r="AD28" s="1"/>
      <c r="AE28" s="6"/>
      <c r="AG28" s="7"/>
      <c r="AI28" s="2"/>
      <c r="AK28" s="8"/>
    </row>
    <row r="29" spans="1:37" ht="15.75" x14ac:dyDescent="0.25">
      <c r="A29" s="1" t="s">
        <v>29</v>
      </c>
      <c r="B29" s="6" t="s">
        <v>43</v>
      </c>
      <c r="C29" t="s">
        <v>35</v>
      </c>
      <c r="D29" s="7" t="s">
        <v>45</v>
      </c>
      <c r="E29">
        <v>15</v>
      </c>
      <c r="F29" s="2">
        <v>3.42</v>
      </c>
      <c r="G29">
        <f t="shared" si="8"/>
        <v>51.3</v>
      </c>
      <c r="H29" s="8">
        <v>1.89</v>
      </c>
      <c r="I29">
        <f t="shared" si="9"/>
        <v>28.349999999999998</v>
      </c>
      <c r="J29">
        <v>8</v>
      </c>
      <c r="P29" s="6"/>
      <c r="R29" s="7"/>
      <c r="T29" s="2"/>
      <c r="V29" s="8"/>
      <c r="AD29" s="1"/>
      <c r="AE29" s="6"/>
      <c r="AG29" s="7"/>
      <c r="AI29" s="2"/>
      <c r="AK29" s="8"/>
    </row>
  </sheetData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A2D53-F515-4332-BF5A-9FD2C1D50167}">
  <sheetPr codeName="Sheet4"/>
  <dimension ref="A1:AB9"/>
  <sheetViews>
    <sheetView tabSelected="1" topLeftCell="D1" zoomScale="102" zoomScaleNormal="102" workbookViewId="0">
      <selection activeCell="D13" sqref="D13"/>
    </sheetView>
  </sheetViews>
  <sheetFormatPr defaultRowHeight="15" x14ac:dyDescent="0.25"/>
  <cols>
    <col min="1" max="1" width="17.7109375" customWidth="1"/>
    <col min="2" max="2" width="14.140625" customWidth="1"/>
    <col min="3" max="3" width="9.7109375" customWidth="1"/>
    <col min="4" max="4" width="10.42578125" customWidth="1"/>
    <col min="5" max="5" width="14.140625" customWidth="1"/>
    <col min="6" max="6" width="17" customWidth="1"/>
    <col min="7" max="7" width="12.140625" customWidth="1"/>
    <col min="8" max="8" width="14.7109375" customWidth="1"/>
    <col min="9" max="9" width="17.85546875" customWidth="1"/>
    <col min="10" max="10" width="13.7109375" customWidth="1"/>
    <col min="13" max="14" width="18.140625" customWidth="1"/>
    <col min="19" max="19" width="15.5703125" customWidth="1"/>
    <col min="23" max="23" width="13.28515625" customWidth="1"/>
    <col min="24" max="24" width="16.28515625" customWidth="1"/>
    <col min="25" max="25" width="12.5703125" customWidth="1"/>
    <col min="26" max="26" width="14" customWidth="1"/>
    <col min="27" max="27" width="17.28515625" customWidth="1"/>
  </cols>
  <sheetData>
    <row r="1" spans="1:28" x14ac:dyDescent="0.25">
      <c r="A1" t="s">
        <v>1</v>
      </c>
      <c r="B1" t="s">
        <v>35</v>
      </c>
      <c r="C1" t="s">
        <v>34</v>
      </c>
      <c r="D1" t="s">
        <v>33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</v>
      </c>
      <c r="M1" t="s">
        <v>41</v>
      </c>
      <c r="N1" t="s">
        <v>37</v>
      </c>
      <c r="S1" t="s">
        <v>1</v>
      </c>
      <c r="T1" t="s">
        <v>35</v>
      </c>
      <c r="U1" t="s">
        <v>34</v>
      </c>
      <c r="V1" t="s">
        <v>33</v>
      </c>
      <c r="W1" t="s">
        <v>37</v>
      </c>
      <c r="X1" t="s">
        <v>38</v>
      </c>
      <c r="Y1" t="s">
        <v>39</v>
      </c>
      <c r="Z1" t="s">
        <v>40</v>
      </c>
      <c r="AA1" t="s">
        <v>41</v>
      </c>
      <c r="AB1" t="s">
        <v>4</v>
      </c>
    </row>
    <row r="2" spans="1:28" x14ac:dyDescent="0.25">
      <c r="A2" t="s">
        <v>13</v>
      </c>
      <c r="B2">
        <f>SUMIFS(InOutStock!$E$2:$E$9999,InOutStock!$C$2:$C$9999,InventoryStatus!B$1,InOutStock!$B$2:$B$9999,InventoryStatus!$A2)</f>
        <v>24</v>
      </c>
      <c r="C2">
        <f>SUMIFS(InOutStock!$E$2:$E$9999,InOutStock!$C$2:$C$9999,InventoryStatus!C$1,InOutStock!$B$2:$B$9999,InventoryStatus!$A2)</f>
        <v>57</v>
      </c>
      <c r="D2">
        <f>SUMIFS(InOutStock!$E$2:$E$9999,InOutStock!$C$2:$C$9999,InventoryStatus!D$1,InOutStock!$B$2:$B$9999,InventoryStatus!$A2)</f>
        <v>25</v>
      </c>
      <c r="E2">
        <f>B2+C2-D2</f>
        <v>56</v>
      </c>
      <c r="F2">
        <f>VLOOKUP(A2,'Product Master'!B2:F9999,3,0)*E2</f>
        <v>195.44</v>
      </c>
      <c r="G2">
        <f>VLOOKUP(A2,'Product Master'!B2:F9999,2,0)*E2</f>
        <v>99.11999999999999</v>
      </c>
      <c r="H2">
        <f>VLOOKUP(A2,'Product Master'!B2:F9999,5,0)</f>
        <v>35</v>
      </c>
      <c r="I2" t="str">
        <f>IF(H2&lt;=J2,"Yes","No")</f>
        <v>No</v>
      </c>
      <c r="J2">
        <f>VLOOKUP(A2,'Product Master'!B2:F9999,4,0)</f>
        <v>33</v>
      </c>
      <c r="S2" t="s">
        <v>43</v>
      </c>
      <c r="T2">
        <v>15</v>
      </c>
      <c r="U2">
        <v>15</v>
      </c>
      <c r="V2">
        <v>30</v>
      </c>
      <c r="W2">
        <v>0</v>
      </c>
      <c r="X2">
        <v>0</v>
      </c>
      <c r="Y2">
        <v>0</v>
      </c>
      <c r="Z2">
        <v>8</v>
      </c>
      <c r="AA2" t="s">
        <v>42</v>
      </c>
      <c r="AB2">
        <v>36</v>
      </c>
    </row>
    <row r="3" spans="1:28" x14ac:dyDescent="0.25">
      <c r="A3" t="s">
        <v>14</v>
      </c>
      <c r="B3">
        <f>SUMIFS(InOutStock!$E$2:$E$9999,InOutStock!$C$2:$C$9999,InventoryStatus!B$1,InOutStock!$B$2:$B$9999,InventoryStatus!$A3)</f>
        <v>75</v>
      </c>
      <c r="C3">
        <f>SUMIFS(InOutStock!$E$2:$E$9999,InOutStock!$C$2:$C$9999,InventoryStatus!C$1,InOutStock!$B$2:$B$9999,InventoryStatus!$A3)</f>
        <v>43</v>
      </c>
      <c r="D3">
        <f>SUMIFS(InOutStock!$E$2:$E$9999,InOutStock!$C$2:$C$9999,InventoryStatus!D$1,InOutStock!$B$2:$B$9999,InventoryStatus!$A3)</f>
        <v>87</v>
      </c>
      <c r="E3">
        <f t="shared" ref="E3:E9" si="0">B3+C3-D3</f>
        <v>31</v>
      </c>
      <c r="F3">
        <f>VLOOKUP(A3,'Product Master'!B3:F10000,3,0)*E3</f>
        <v>108.19</v>
      </c>
      <c r="G3">
        <f>VLOOKUP(A3,'Product Master'!B3:F10000,2,0)*E3</f>
        <v>67.58</v>
      </c>
      <c r="H3">
        <f>VLOOKUP(A3,'Product Master'!B3:F10000,5,0)</f>
        <v>6</v>
      </c>
      <c r="I3" t="str">
        <f t="shared" ref="I3:I9" si="1">IF(H3&lt;=J3,"Yes","No")</f>
        <v>Yes</v>
      </c>
      <c r="J3">
        <f>VLOOKUP(A3,'Product Master'!B3:F10000,4,0)</f>
        <v>87</v>
      </c>
    </row>
    <row r="4" spans="1:28" x14ac:dyDescent="0.25">
      <c r="A4" t="s">
        <v>15</v>
      </c>
      <c r="B4">
        <f>SUMIFS(InOutStock!$E$2:$E$9999,InOutStock!$C$2:$C$9999,InventoryStatus!B$1,InOutStock!$B$2:$B$9999,InventoryStatus!$A4)</f>
        <v>58</v>
      </c>
      <c r="C4">
        <f>SUMIFS(InOutStock!$E$2:$E$9999,InOutStock!$C$2:$C$9999,InventoryStatus!C$1,InOutStock!$B$2:$B$9999,InventoryStatus!$A4)</f>
        <v>42</v>
      </c>
      <c r="D4">
        <f>SUMIFS(InOutStock!$E$2:$E$9999,InOutStock!$C$2:$C$9999,InventoryStatus!D$1,InOutStock!$B$2:$B$9999,InventoryStatus!$A4)</f>
        <v>53</v>
      </c>
      <c r="E4">
        <f t="shared" si="0"/>
        <v>47</v>
      </c>
      <c r="F4">
        <f>VLOOKUP(A4,'Product Master'!B4:F10001,3,0)*E4</f>
        <v>164.03</v>
      </c>
      <c r="G4">
        <f>VLOOKUP(A4,'Product Master'!B4:F10001,2,0)*E4</f>
        <v>87.89</v>
      </c>
      <c r="H4">
        <f>VLOOKUP(A4,'Product Master'!B4:F10001,5,0)</f>
        <v>8</v>
      </c>
      <c r="I4" t="str">
        <f t="shared" si="1"/>
        <v>Yes</v>
      </c>
      <c r="J4">
        <f>VLOOKUP(A4,'Product Master'!B4:F10001,4,0)</f>
        <v>58</v>
      </c>
    </row>
    <row r="5" spans="1:28" x14ac:dyDescent="0.25">
      <c r="A5" t="s">
        <v>16</v>
      </c>
      <c r="B5">
        <f>SUMIFS(InOutStock!$E$2:$E$9999,InOutStock!$C$2:$C$9999,InventoryStatus!B$1,InOutStock!$B$2:$B$9999,InventoryStatus!$A5)</f>
        <v>37</v>
      </c>
      <c r="C5">
        <f>SUMIFS(InOutStock!$E$2:$E$9999,InOutStock!$C$2:$C$9999,InventoryStatus!C$1,InOutStock!$B$2:$B$9999,InventoryStatus!$A5)</f>
        <v>38</v>
      </c>
      <c r="D5">
        <f>SUMIFS(InOutStock!$E$2:$E$9999,InOutStock!$C$2:$C$9999,InventoryStatus!D$1,InOutStock!$B$2:$B$9999,InventoryStatus!$A5)</f>
        <v>21</v>
      </c>
      <c r="E5">
        <f t="shared" si="0"/>
        <v>54</v>
      </c>
      <c r="F5">
        <f>VLOOKUP(A5,'Product Master'!B5:F10002,3,0)*E5</f>
        <v>188.45999999999998</v>
      </c>
      <c r="G5">
        <f>VLOOKUP(A5,'Product Master'!B5:F10002,2,0)*E5</f>
        <v>117.72000000000001</v>
      </c>
      <c r="H5">
        <f>VLOOKUP(A5,'Product Master'!B5:F10002,5,0)</f>
        <v>7</v>
      </c>
      <c r="I5" t="str">
        <f t="shared" si="1"/>
        <v>Yes</v>
      </c>
      <c r="J5">
        <f>VLOOKUP(A5,'Product Master'!B5:F10002,4,0)</f>
        <v>38</v>
      </c>
    </row>
    <row r="6" spans="1:28" x14ac:dyDescent="0.25">
      <c r="A6" t="s">
        <v>17</v>
      </c>
      <c r="B6">
        <f>SUMIFS(InOutStock!$E$2:$E$9999,InOutStock!$C$2:$C$9999,InventoryStatus!B$1,InOutStock!$B$2:$B$9999,InventoryStatus!$A6)</f>
        <v>26</v>
      </c>
      <c r="C6">
        <f>SUMIFS(InOutStock!$E$2:$E$9999,InOutStock!$C$2:$C$9999,InventoryStatus!C$1,InOutStock!$B$2:$B$9999,InventoryStatus!$A6)</f>
        <v>24</v>
      </c>
      <c r="D6">
        <f>SUMIFS(InOutStock!$E$2:$E$9999,InOutStock!$C$2:$C$9999,InventoryStatus!D$1,InOutStock!$B$2:$B$9999,InventoryStatus!$A6)</f>
        <v>28</v>
      </c>
      <c r="E6">
        <f t="shared" si="0"/>
        <v>22</v>
      </c>
      <c r="F6">
        <f>VLOOKUP(A6,'Product Master'!B6:F10003,3,0)*E6</f>
        <v>76.78</v>
      </c>
      <c r="G6">
        <f>VLOOKUP(A6,'Product Master'!B6:F10003,2,0)*E6</f>
        <v>29.700000000000003</v>
      </c>
      <c r="H6">
        <f>VLOOKUP(A6,'Product Master'!B6:F10003,5,0)</f>
        <v>9</v>
      </c>
      <c r="I6" t="str">
        <f t="shared" si="1"/>
        <v>Yes</v>
      </c>
      <c r="J6">
        <f>VLOOKUP(A6,'Product Master'!B6:F10003,4,0)</f>
        <v>28</v>
      </c>
    </row>
    <row r="7" spans="1:28" x14ac:dyDescent="0.25">
      <c r="A7" t="s">
        <v>18</v>
      </c>
      <c r="B7">
        <f>SUMIFS(InOutStock!$E$2:$E$9999,InOutStock!$C$2:$C$9999,InventoryStatus!B$1,InOutStock!$B$2:$B$9999,InventoryStatus!$A7)</f>
        <v>48</v>
      </c>
      <c r="C7">
        <f>SUMIFS(InOutStock!$E$2:$E$9999,InOutStock!$C$2:$C$9999,InventoryStatus!C$1,InOutStock!$B$2:$B$9999,InventoryStatus!$A7)</f>
        <v>87</v>
      </c>
      <c r="D7">
        <f>SUMIFS(InOutStock!$E$2:$E$9999,InOutStock!$C$2:$C$9999,InventoryStatus!D$1,InOutStock!$B$2:$B$9999,InventoryStatus!$A7)</f>
        <v>123</v>
      </c>
      <c r="E7">
        <f t="shared" si="0"/>
        <v>12</v>
      </c>
      <c r="F7">
        <f>VLOOKUP(A7,'Product Master'!B7:F10004,3,0)*E7</f>
        <v>41.879999999999995</v>
      </c>
      <c r="G7">
        <f>VLOOKUP(A7,'Product Master'!B7:F10004,2,0)*E7</f>
        <v>34.08</v>
      </c>
      <c r="H7">
        <f>VLOOKUP(A7,'Product Master'!B7:F10004,5,0)</f>
        <v>9</v>
      </c>
      <c r="I7" t="str">
        <f t="shared" si="1"/>
        <v>Yes</v>
      </c>
      <c r="J7">
        <f>VLOOKUP(A7,'Product Master'!B7:F10004,4,0)</f>
        <v>123</v>
      </c>
    </row>
    <row r="8" spans="1:28" x14ac:dyDescent="0.25">
      <c r="A8" t="s">
        <v>19</v>
      </c>
      <c r="B8">
        <f>SUMIFS(InOutStock!$E$2:$E$9999,InOutStock!$C$2:$C$9999,InventoryStatus!B$1,InOutStock!$B$2:$B$9999,InventoryStatus!$A8)</f>
        <v>42</v>
      </c>
      <c r="C8">
        <f>SUMIFS(InOutStock!$E$2:$E$9999,InOutStock!$C$2:$C$9999,InventoryStatus!C$1,InOutStock!$B$2:$B$9999,InventoryStatus!$A8)</f>
        <v>32</v>
      </c>
      <c r="D8">
        <f>SUMIFS(InOutStock!$E$2:$E$9999,InOutStock!$C$2:$C$9999,InventoryStatus!D$1,InOutStock!$B$2:$B$9999,InventoryStatus!$A8)</f>
        <v>36</v>
      </c>
      <c r="E8">
        <f t="shared" si="0"/>
        <v>38</v>
      </c>
      <c r="F8">
        <f>VLOOKUP(A8,'Product Master'!B8:F10005,3,0)*E8</f>
        <v>132.62</v>
      </c>
      <c r="G8">
        <f>VLOOKUP(A8,'Product Master'!B8:F10005,2,0)*E8</f>
        <v>71.06</v>
      </c>
      <c r="H8">
        <f>VLOOKUP(A8,'Product Master'!B8:F10005,5,0)</f>
        <v>7</v>
      </c>
      <c r="I8" t="str">
        <f t="shared" si="1"/>
        <v>Yes</v>
      </c>
      <c r="J8">
        <f>VLOOKUP(A8,'Product Master'!B8:F10005,4,0)</f>
        <v>42</v>
      </c>
    </row>
    <row r="9" spans="1:28" x14ac:dyDescent="0.25">
      <c r="A9" t="s">
        <v>43</v>
      </c>
      <c r="B9">
        <f>SUMIFS(InOutStock!$E$2:$E$9999,InOutStock!$C$2:$C$9999,InventoryStatus!B$1,InOutStock!$B$2:$B$9999,InventoryStatus!$A9)</f>
        <v>15</v>
      </c>
      <c r="C9">
        <f>SUMIFS(InOutStock!$E$2:$E$9999,InOutStock!$C$2:$C$9999,InventoryStatus!C$1,InOutStock!$B$2:$B$9999,InventoryStatus!$A9)</f>
        <v>15</v>
      </c>
      <c r="D9">
        <f>SUMIFS(InOutStock!$E$2:$E$9999,InOutStock!$C$2:$C$9999,InventoryStatus!D$1,InOutStock!$B$2:$B$9999,InventoryStatus!$A9)</f>
        <v>30</v>
      </c>
      <c r="E9">
        <f t="shared" si="0"/>
        <v>0</v>
      </c>
      <c r="F9">
        <f>VLOOKUP(A9,'Product Master'!B9:F10006,3,0)*E9</f>
        <v>0</v>
      </c>
      <c r="G9">
        <f>VLOOKUP(A9,'Product Master'!B9:F10006,2,0)*E9</f>
        <v>0</v>
      </c>
      <c r="H9">
        <f>VLOOKUP(A9,'Product Master'!B9:F10006,5,0)</f>
        <v>8</v>
      </c>
      <c r="I9" t="str">
        <f t="shared" si="1"/>
        <v>Yes</v>
      </c>
      <c r="J9">
        <f>VLOOKUP(A9,'Product Master'!B9:F10006,4,0)</f>
        <v>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DashBoard</vt:lpstr>
      <vt:lpstr>Product Master</vt:lpstr>
      <vt:lpstr>InOutStock</vt:lpstr>
      <vt:lpstr>InventoryStatus</vt:lpstr>
      <vt:lpstr>InOutStock!Criteria</vt:lpstr>
      <vt:lpstr>InventoryStatus!Criteria</vt:lpstr>
      <vt:lpstr>InOutStock!Extract</vt:lpstr>
      <vt:lpstr>InventoryStatus!Extract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Duc Tuan</dc:creator>
  <cp:lastModifiedBy>Tran Duc Tuan</cp:lastModifiedBy>
  <dcterms:created xsi:type="dcterms:W3CDTF">2024-02-24T08:17:02Z</dcterms:created>
  <dcterms:modified xsi:type="dcterms:W3CDTF">2024-03-02T11:46:25Z</dcterms:modified>
</cp:coreProperties>
</file>